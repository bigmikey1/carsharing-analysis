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Projekte\21 - Carsharing Landkreis\100 - Reports und Projektbegleitung\Daten, Exporte, Übersichten (für Export)\Betriebskosten (Schätzung)\"/>
    </mc:Choice>
  </mc:AlternateContent>
  <xr:revisionPtr revIDLastSave="0" documentId="8_{3E96E608-E0F7-46A4-BBDF-B0415A65662E}" xr6:coauthVersionLast="47" xr6:coauthVersionMax="47" xr10:uidLastSave="{00000000-0000-0000-0000-000000000000}"/>
  <bookViews>
    <workbookView xWindow="-120" yWindow="-120" windowWidth="29040" windowHeight="17520" xr2:uid="{979CEADE-B793-4DA7-8372-18896D605EA7}"/>
  </bookViews>
  <sheets>
    <sheet name="Grundlagen_Betriebskosten_26_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9" i="1" s="1"/>
  <c r="D10" i="1" s="1"/>
  <c r="B6" i="1"/>
  <c r="D6" i="1"/>
  <c r="D7" i="1"/>
  <c r="B13" i="1"/>
  <c r="D13" i="1"/>
  <c r="D14" i="1"/>
  <c r="D15" i="1"/>
  <c r="D17" i="1"/>
  <c r="D18" i="1" s="1"/>
  <c r="D21" i="1"/>
  <c r="D22" i="1"/>
  <c r="D23" i="1"/>
  <c r="D24" i="1"/>
  <c r="D28" i="1" s="1"/>
  <c r="D25" i="1"/>
  <c r="D26" i="1"/>
  <c r="D27" i="1"/>
  <c r="D31" i="1"/>
  <c r="D35" i="1" s="1"/>
  <c r="D32" i="1"/>
  <c r="D33" i="1"/>
  <c r="D34" i="1"/>
  <c r="B38" i="1"/>
  <c r="D38" i="1"/>
  <c r="D39" i="1"/>
  <c r="D40" i="1"/>
  <c r="D41" i="1"/>
  <c r="D42" i="1"/>
  <c r="D43" i="1"/>
  <c r="D44" i="1"/>
  <c r="D47" i="1"/>
  <c r="D62" i="1" s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B65" i="1"/>
  <c r="B66" i="1"/>
  <c r="D67" i="1"/>
  <c r="B67" i="1" s="1"/>
  <c r="B68" i="1"/>
  <c r="D68" i="1"/>
  <c r="D69" i="1"/>
  <c r="B69" i="1" s="1"/>
  <c r="D70" i="1"/>
  <c r="B70" i="1" s="1"/>
  <c r="B71" i="1"/>
  <c r="D71" i="1"/>
  <c r="B72" i="1"/>
  <c r="D73" i="1"/>
  <c r="B73" i="1" s="1"/>
  <c r="B74" i="1"/>
  <c r="B75" i="1"/>
  <c r="B76" i="1"/>
  <c r="D77" i="1"/>
  <c r="B77" i="1" s="1"/>
  <c r="B78" i="1"/>
  <c r="B79" i="1"/>
  <c r="D80" i="1"/>
  <c r="D83" i="1"/>
  <c r="B83" i="1" s="1"/>
  <c r="B84" i="1"/>
  <c r="D85" i="1"/>
  <c r="B85" i="1" s="1"/>
  <c r="B86" i="1"/>
  <c r="B87" i="1"/>
  <c r="B88" i="1"/>
  <c r="B89" i="1"/>
  <c r="B90" i="1"/>
  <c r="B91" i="1"/>
  <c r="B92" i="1"/>
  <c r="B93" i="1"/>
  <c r="B94" i="1"/>
  <c r="D95" i="1"/>
  <c r="B95" i="1" s="1"/>
  <c r="B96" i="1"/>
  <c r="B97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D116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D134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D152" i="1"/>
  <c r="D98" i="1" l="1"/>
</calcChain>
</file>

<file path=xl/sharedStrings.xml><?xml version="1.0" encoding="utf-8"?>
<sst xmlns="http://schemas.openxmlformats.org/spreadsheetml/2006/main" count="295" uniqueCount="80">
  <si>
    <t xml:space="preserve">Summe Betriebskosten sonstige Kfz- Kosten </t>
  </si>
  <si>
    <t>kalkulatorischer Ansatz</t>
  </si>
  <si>
    <t>Sünching/Kallmünz</t>
  </si>
  <si>
    <t>Wenzenbach</t>
  </si>
  <si>
    <t>Sinzing</t>
  </si>
  <si>
    <t>Schierling</t>
  </si>
  <si>
    <t>Regenstauf</t>
  </si>
  <si>
    <t>Pettendorf</t>
  </si>
  <si>
    <t>Pentling</t>
  </si>
  <si>
    <t>Nittendorf</t>
  </si>
  <si>
    <t>Neutraubling</t>
  </si>
  <si>
    <t>Lappersdorf (Hainsacker)</t>
  </si>
  <si>
    <t xml:space="preserve">Lappersdorf </t>
  </si>
  <si>
    <t>Laaber</t>
  </si>
  <si>
    <t>Köfering</t>
  </si>
  <si>
    <t>Donaustauf</t>
  </si>
  <si>
    <t>Alteglofsheim</t>
  </si>
  <si>
    <t>Bemerkung</t>
  </si>
  <si>
    <t>Kosten pro Jahr</t>
  </si>
  <si>
    <t>Anzahl Monate</t>
  </si>
  <si>
    <t>Kosten pro Monat</t>
  </si>
  <si>
    <t>Sonstige Kfz - Kosten</t>
  </si>
  <si>
    <t>Summe Betriebkosten Reinigung</t>
  </si>
  <si>
    <t>Kümmerer überall vor Ort</t>
  </si>
  <si>
    <t xml:space="preserve">Laaber </t>
  </si>
  <si>
    <t xml:space="preserve">Reinigungskosten </t>
  </si>
  <si>
    <t>Summe Betriebskosten Fahrzeugbezogene Fixkosten</t>
  </si>
  <si>
    <t>Preissteigerung 10%</t>
  </si>
  <si>
    <t>Fahrzeugbezogene Fixkosten (HU, UVV, Reifenwechsel)</t>
  </si>
  <si>
    <t>Summe Betriebskosten Strom- und Ladegebühren</t>
  </si>
  <si>
    <t>Vorjahreswert</t>
  </si>
  <si>
    <t>geringere Nutzung</t>
  </si>
  <si>
    <t>neuer Standort</t>
  </si>
  <si>
    <t>Strom- und Ladegebühren</t>
  </si>
  <si>
    <t>Summe Betriebskosten Versicherung</t>
  </si>
  <si>
    <t>lt. Vertrag</t>
  </si>
  <si>
    <t xml:space="preserve">Versicherung </t>
  </si>
  <si>
    <t>Summe Betriebskosten Leasing</t>
  </si>
  <si>
    <t>Leasing</t>
  </si>
  <si>
    <t>Summe Betriebskosten Kfz-Zulassungsstelle, Leasing-Partner</t>
  </si>
  <si>
    <t>Nachzahlungen Kilometerstand</t>
  </si>
  <si>
    <t>Schäden nach Rückgabe Altfahrzeug</t>
  </si>
  <si>
    <t>Kfz- Abmeldung</t>
  </si>
  <si>
    <t>lt. Rechnungen</t>
  </si>
  <si>
    <t>Azuga Kofferraumwanne, Fußmatten</t>
  </si>
  <si>
    <t>Überführungskosten neues Leasing- Fahrzeug</t>
  </si>
  <si>
    <t>Kfz- Zulassung (Schilder, Gebühr)</t>
  </si>
  <si>
    <t>Kosten gesamt</t>
  </si>
  <si>
    <t>Anzahl Neufahrzeuge</t>
  </si>
  <si>
    <t>Kosten je Neufahrzeug</t>
  </si>
  <si>
    <t>Neuzulassung und Rückgabe (Kfz-Zulaasungsstelle, Leasing-Partner)</t>
  </si>
  <si>
    <t>Summe Betriebskosten Neku Media</t>
  </si>
  <si>
    <t>Parkplatzschild</t>
  </si>
  <si>
    <t>Folienbeschriftung</t>
  </si>
  <si>
    <t>Fahrzeugbeschriftung</t>
  </si>
  <si>
    <t>Beschriftung Fahrzeugausstattung</t>
  </si>
  <si>
    <t>(Fahrzeug-) folierung (Neku Media)</t>
  </si>
  <si>
    <t>Summe Betriebskosten fleetster</t>
  </si>
  <si>
    <t>Ausbau Fahrzeug für Einbau Carsharing Kit</t>
  </si>
  <si>
    <t>Anfahrtkosten - Region 3</t>
  </si>
  <si>
    <t>CarSharing Kit - Einrichtungspauschale (Firmware, Aktivierung)</t>
  </si>
  <si>
    <t>CarSharing Kit - Einbaukosten</t>
  </si>
  <si>
    <t>Ersatzteile - Wiedereinbau CarSharing Kit</t>
  </si>
  <si>
    <t>Lomo Einbau (Verlötung Schlüssel und Einbau im Fahrzeug)</t>
  </si>
  <si>
    <t>2 Neufahrzeuge</t>
  </si>
  <si>
    <t>Lomo Hardware (Platine)</t>
  </si>
  <si>
    <t>Einrichtung Fahrzeug für Carsharing (fleetster)</t>
  </si>
  <si>
    <t>Summe (1 Fz.)</t>
  </si>
  <si>
    <t>Summe Betriebskosten evemo</t>
  </si>
  <si>
    <t>Servicegebühr Whitelabel App</t>
  </si>
  <si>
    <t>Plattform Support Kat. 2</t>
  </si>
  <si>
    <t>Fahrzeuglizenz PKW Pro inkl. Cloudboxx 4G (14*67,50,-)</t>
  </si>
  <si>
    <r>
      <t>Softwareplattform und Whitelabel App Provider (e</t>
    </r>
    <r>
      <rPr>
        <b/>
        <i/>
        <sz val="12"/>
        <color theme="1"/>
        <rFont val="Arial"/>
        <family val="2"/>
      </rPr>
      <t>vemo</t>
    </r>
    <r>
      <rPr>
        <b/>
        <sz val="12"/>
        <color theme="1"/>
        <rFont val="Arial"/>
        <family val="2"/>
      </rPr>
      <t>)</t>
    </r>
  </si>
  <si>
    <t>Summe Betriebskosten RegioMobil</t>
  </si>
  <si>
    <t>Außergewöhliche Einzelereignisse (40,00,-) ca. 2x pro Jahr</t>
  </si>
  <si>
    <t>Fallpauschale über 15min (9,95,-) ca. 5x pro Jahr</t>
  </si>
  <si>
    <t>Fallpauschale bis 15min (4,95,-) ca. 120x pro Jahr</t>
  </si>
  <si>
    <t>Grundgebühr Bereitstellung</t>
  </si>
  <si>
    <t>Dienstleister Support (RegioMobil)</t>
  </si>
  <si>
    <t>Grundlagen Betriebskosten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</si>
</sst>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#,##0.00\ &quot;€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2"/>
      <color theme="1"/>
      <name val="Arial"/>
      <family val="2"/>
    </font>
    <font>
      <b/>
      <sz val="16"/>
      <color theme="9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indexed="64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indexed="64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0.59999389629810485"/>
      </bottom>
      <diagonal/>
    </border>
    <border>
      <left/>
      <right/>
      <top style="thin">
        <color theme="9" tint="0.59999389629810485"/>
      </top>
      <bottom style="thin">
        <color theme="9" tint="0.59999389629810485"/>
      </bottom>
      <diagonal/>
    </border>
    <border>
      <left/>
      <right/>
      <top style="thin">
        <color theme="9" tint="0.59999389629810485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4" borderId="0" applyFont="0" applyFill="0" applyAlignment="0">
      <alignment vertical="center"/>
    </xf>
  </cellStyleXfs>
  <cellXfs count="1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right" vertical="center"/>
    </xf>
    <xf numFmtId="7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1" xfId="0" applyFont="1" applyBorder="1" applyAlignment="1">
      <alignment horizontal="right"/>
    </xf>
    <xf numFmtId="7" fontId="5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44" fontId="6" fillId="0" borderId="2" xfId="1" applyFont="1" applyFill="1" applyBorder="1"/>
    <xf numFmtId="0" fontId="2" fillId="0" borderId="3" xfId="0" applyFont="1" applyBorder="1" applyAlignment="1">
      <alignment horizontal="left" vertical="center"/>
    </xf>
    <xf numFmtId="44" fontId="6" fillId="0" borderId="4" xfId="1" applyFont="1" applyFill="1" applyBorder="1"/>
    <xf numFmtId="0" fontId="2" fillId="0" borderId="1" xfId="0" applyFont="1" applyBorder="1" applyAlignment="1">
      <alignment horizontal="left" vertical="center"/>
    </xf>
    <xf numFmtId="44" fontId="6" fillId="0" borderId="5" xfId="1" applyFont="1" applyFill="1" applyBorder="1"/>
    <xf numFmtId="44" fontId="6" fillId="0" borderId="6" xfId="1" applyFont="1" applyFill="1" applyBorder="1"/>
    <xf numFmtId="0" fontId="7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right"/>
    </xf>
    <xf numFmtId="7" fontId="5" fillId="0" borderId="7" xfId="0" applyNumberFormat="1" applyFont="1" applyBorder="1" applyAlignment="1">
      <alignment horizontal="right" vertical="center"/>
    </xf>
    <xf numFmtId="0" fontId="2" fillId="0" borderId="7" xfId="0" applyFont="1" applyBorder="1"/>
    <xf numFmtId="44" fontId="6" fillId="0" borderId="8" xfId="1" applyFont="1" applyFill="1" applyBorder="1"/>
    <xf numFmtId="0" fontId="2" fillId="0" borderId="7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right" vertical="center"/>
    </xf>
    <xf numFmtId="0" fontId="6" fillId="3" borderId="9" xfId="2" applyFont="1" applyFill="1" applyBorder="1" applyAlignment="1">
      <alignment horizontal="right" vertical="center"/>
    </xf>
    <xf numFmtId="0" fontId="6" fillId="3" borderId="0" xfId="0" applyFont="1" applyFill="1" applyAlignment="1">
      <alignment vertical="center"/>
    </xf>
    <xf numFmtId="7" fontId="5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/>
    </xf>
    <xf numFmtId="164" fontId="5" fillId="0" borderId="3" xfId="0" applyNumberFormat="1" applyFont="1" applyBorder="1" applyAlignment="1">
      <alignment horizontal="right" vertical="center"/>
    </xf>
    <xf numFmtId="7" fontId="5" fillId="0" borderId="10" xfId="0" applyNumberFormat="1" applyFont="1" applyBorder="1" applyAlignment="1">
      <alignment horizontal="right" vertical="center"/>
    </xf>
    <xf numFmtId="7" fontId="5" fillId="0" borderId="0" xfId="0" applyNumberFormat="1" applyFont="1" applyAlignment="1">
      <alignment horizontal="right" vertical="center"/>
    </xf>
    <xf numFmtId="7" fontId="5" fillId="0" borderId="11" xfId="0" applyNumberFormat="1" applyFont="1" applyBorder="1" applyAlignment="1">
      <alignment horizontal="right" vertical="center"/>
    </xf>
    <xf numFmtId="0" fontId="3" fillId="3" borderId="9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7" fontId="3" fillId="2" borderId="10" xfId="0" applyNumberFormat="1" applyFont="1" applyFill="1" applyBorder="1" applyAlignment="1">
      <alignment horizontal="right" vertical="center"/>
    </xf>
    <xf numFmtId="44" fontId="6" fillId="0" borderId="1" xfId="1" applyFont="1" applyFill="1" applyBorder="1"/>
    <xf numFmtId="164" fontId="2" fillId="0" borderId="0" xfId="1" applyNumberFormat="1" applyFont="1" applyFill="1" applyBorder="1"/>
    <xf numFmtId="0" fontId="6" fillId="3" borderId="9" xfId="0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6" fillId="3" borderId="0" xfId="2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6" fillId="0" borderId="0" xfId="0" applyFont="1"/>
    <xf numFmtId="164" fontId="3" fillId="2" borderId="0" xfId="0" applyNumberFormat="1" applyFont="1" applyFill="1" applyAlignment="1">
      <alignment vertical="center"/>
    </xf>
    <xf numFmtId="0" fontId="2" fillId="0" borderId="3" xfId="0" applyFont="1" applyBorder="1"/>
    <xf numFmtId="44" fontId="6" fillId="0" borderId="3" xfId="1" applyFont="1" applyBorder="1"/>
    <xf numFmtId="44" fontId="6" fillId="0" borderId="2" xfId="1" applyFont="1" applyBorder="1"/>
    <xf numFmtId="44" fontId="6" fillId="0" borderId="4" xfId="1" applyFont="1" applyBorder="1"/>
    <xf numFmtId="44" fontId="6" fillId="0" borderId="5" xfId="1" applyFont="1" applyBorder="1"/>
    <xf numFmtId="44" fontId="6" fillId="0" borderId="6" xfId="1" applyFont="1" applyBorder="1"/>
    <xf numFmtId="44" fontId="6" fillId="0" borderId="8" xfId="1" applyFont="1" applyBorder="1"/>
    <xf numFmtId="44" fontId="3" fillId="2" borderId="0" xfId="0" applyNumberFormat="1" applyFont="1" applyFill="1" applyAlignment="1">
      <alignment vertical="center"/>
    </xf>
    <xf numFmtId="0" fontId="2" fillId="0" borderId="1" xfId="0" applyFont="1" applyBorder="1" applyAlignment="1">
      <alignment horizontal="right"/>
    </xf>
    <xf numFmtId="44" fontId="2" fillId="0" borderId="1" xfId="1" applyFont="1" applyBorder="1"/>
    <xf numFmtId="0" fontId="2" fillId="0" borderId="3" xfId="0" applyFont="1" applyBorder="1" applyAlignment="1">
      <alignment horizontal="right"/>
    </xf>
    <xf numFmtId="44" fontId="2" fillId="0" borderId="5" xfId="1" applyFont="1" applyBorder="1"/>
    <xf numFmtId="44" fontId="6" fillId="0" borderId="1" xfId="1" applyFont="1" applyBorder="1"/>
    <xf numFmtId="44" fontId="2" fillId="0" borderId="2" xfId="1" applyFont="1" applyBorder="1"/>
    <xf numFmtId="44" fontId="8" fillId="0" borderId="1" xfId="1" applyFont="1" applyBorder="1"/>
    <xf numFmtId="44" fontId="2" fillId="0" borderId="4" xfId="1" applyFont="1" applyBorder="1"/>
    <xf numFmtId="0" fontId="2" fillId="0" borderId="1" xfId="0" applyFont="1" applyBorder="1" applyAlignment="1">
      <alignment horizontal="left" vertical="center" wrapText="1"/>
    </xf>
    <xf numFmtId="44" fontId="2" fillId="0" borderId="6" xfId="1" applyFont="1" applyBorder="1"/>
    <xf numFmtId="44" fontId="8" fillId="0" borderId="3" xfId="1" applyFont="1" applyBorder="1"/>
    <xf numFmtId="0" fontId="2" fillId="0" borderId="7" xfId="0" applyFont="1" applyBorder="1" applyAlignment="1">
      <alignment horizontal="right"/>
    </xf>
    <xf numFmtId="44" fontId="6" fillId="0" borderId="7" xfId="1" applyFont="1" applyBorder="1"/>
    <xf numFmtId="0" fontId="3" fillId="2" borderId="12" xfId="0" applyFont="1" applyFill="1" applyBorder="1" applyAlignment="1">
      <alignment horizontal="right" vertical="center"/>
    </xf>
    <xf numFmtId="44" fontId="3" fillId="2" borderId="12" xfId="0" applyNumberFormat="1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4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4" fontId="2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44" fontId="2" fillId="0" borderId="0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9" fillId="2" borderId="12" xfId="0" applyFont="1" applyFill="1" applyBorder="1" applyAlignment="1">
      <alignment horizontal="right"/>
    </xf>
    <xf numFmtId="44" fontId="9" fillId="2" borderId="12" xfId="0" applyNumberFormat="1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 vertical="center"/>
    </xf>
    <xf numFmtId="44" fontId="9" fillId="2" borderId="12" xfId="1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44" fontId="2" fillId="0" borderId="3" xfId="0" applyNumberFormat="1" applyFont="1" applyBorder="1" applyAlignment="1">
      <alignment horizontal="right" vertical="center"/>
    </xf>
    <xf numFmtId="0" fontId="3" fillId="2" borderId="12" xfId="0" applyFont="1" applyFill="1" applyBorder="1" applyAlignment="1">
      <alignment horizontal="right"/>
    </xf>
    <xf numFmtId="44" fontId="3" fillId="2" borderId="12" xfId="0" applyNumberFormat="1" applyFont="1" applyFill="1" applyBorder="1" applyAlignment="1">
      <alignment horizontal="right" vertical="center"/>
    </xf>
    <xf numFmtId="44" fontId="3" fillId="2" borderId="12" xfId="1" applyFont="1" applyFill="1" applyBorder="1" applyAlignment="1">
      <alignment vertical="center"/>
    </xf>
    <xf numFmtId="44" fontId="2" fillId="0" borderId="1" xfId="1" applyFont="1" applyFill="1" applyBorder="1" applyAlignment="1">
      <alignment vertical="center"/>
    </xf>
    <xf numFmtId="0" fontId="3" fillId="3" borderId="9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right"/>
    </xf>
    <xf numFmtId="44" fontId="3" fillId="2" borderId="9" xfId="1" applyFont="1" applyFill="1" applyBorder="1" applyAlignment="1">
      <alignment vertical="center"/>
    </xf>
    <xf numFmtId="49" fontId="3" fillId="2" borderId="9" xfId="1" applyNumberFormat="1" applyFont="1" applyFill="1" applyBorder="1" applyAlignment="1">
      <alignment horizontal="right" vertical="center"/>
    </xf>
    <xf numFmtId="44" fontId="3" fillId="2" borderId="9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7" fillId="0" borderId="0" xfId="0" applyFont="1"/>
    <xf numFmtId="0" fontId="3" fillId="2" borderId="11" xfId="0" applyFont="1" applyFill="1" applyBorder="1" applyAlignment="1">
      <alignment horizontal="right"/>
    </xf>
    <xf numFmtId="44" fontId="3" fillId="2" borderId="11" xfId="1" applyFont="1" applyFill="1" applyBorder="1" applyAlignment="1">
      <alignment vertical="center"/>
    </xf>
    <xf numFmtId="49" fontId="3" fillId="2" borderId="11" xfId="1" applyNumberFormat="1" applyFont="1" applyFill="1" applyBorder="1" applyAlignment="1">
      <alignment horizontal="right" vertical="center"/>
    </xf>
    <xf numFmtId="44" fontId="3" fillId="2" borderId="11" xfId="0" applyNumberFormat="1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0" fillId="0" borderId="0" xfId="0" applyFont="1"/>
    <xf numFmtId="0" fontId="5" fillId="0" borderId="13" xfId="0" applyFont="1" applyBorder="1" applyAlignment="1">
      <alignment horizontal="right"/>
    </xf>
    <xf numFmtId="44" fontId="5" fillId="0" borderId="13" xfId="1" applyFont="1" applyFill="1" applyBorder="1" applyAlignment="1">
      <alignment vertical="center"/>
    </xf>
    <xf numFmtId="49" fontId="5" fillId="0" borderId="13" xfId="1" applyNumberFormat="1" applyFont="1" applyFill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44" fontId="5" fillId="0" borderId="13" xfId="1" applyFont="1" applyFill="1" applyBorder="1" applyAlignment="1">
      <alignment horizontal="right" vertical="center"/>
    </xf>
    <xf numFmtId="0" fontId="6" fillId="3" borderId="9" xfId="2" applyFont="1" applyFill="1" applyBorder="1" applyAlignment="1">
      <alignment vertical="center"/>
    </xf>
    <xf numFmtId="0" fontId="2" fillId="0" borderId="11" xfId="0" applyFont="1" applyBorder="1" applyAlignment="1">
      <alignment horizontal="center"/>
    </xf>
    <xf numFmtId="49" fontId="3" fillId="2" borderId="9" xfId="0" applyNumberFormat="1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0" fontId="2" fillId="0" borderId="14" xfId="0" applyFont="1" applyBorder="1" applyAlignment="1">
      <alignment horizontal="right"/>
    </xf>
    <xf numFmtId="44" fontId="5" fillId="0" borderId="14" xfId="1" applyFont="1" applyFill="1" applyBorder="1" applyAlignment="1">
      <alignment vertical="center"/>
    </xf>
    <xf numFmtId="49" fontId="5" fillId="0" borderId="14" xfId="1" applyNumberFormat="1" applyFont="1" applyFill="1" applyBorder="1" applyAlignment="1">
      <alignment horizontal="right" vertical="center"/>
    </xf>
    <xf numFmtId="44" fontId="2" fillId="0" borderId="14" xfId="1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7" fillId="0" borderId="15" xfId="0" applyFont="1" applyBorder="1"/>
    <xf numFmtId="44" fontId="2" fillId="0" borderId="14" xfId="0" applyNumberFormat="1" applyFont="1" applyBorder="1" applyAlignment="1">
      <alignment vertical="center"/>
    </xf>
    <xf numFmtId="0" fontId="2" fillId="0" borderId="14" xfId="1" applyNumberFormat="1" applyFont="1" applyFill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</cellXfs>
  <cellStyles count="3">
    <cellStyle name="Standard" xfId="0" builtinId="0"/>
    <cellStyle name="Stil 1" xfId="2" xr:uid="{ECDFAEFC-2C8B-4F2E-A21A-DE5271552A54}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EF11-CFBA-4A00-9FC2-5ACA37C8C31F}">
  <sheetPr>
    <tabColor theme="7"/>
    <pageSetUpPr fitToPage="1"/>
  </sheetPr>
  <dimension ref="A1:H153"/>
  <sheetViews>
    <sheetView tabSelected="1" zoomScaleNormal="100" workbookViewId="0">
      <selection activeCell="A13" sqref="A13"/>
    </sheetView>
  </sheetViews>
  <sheetFormatPr baseColWidth="10" defaultColWidth="11.42578125" defaultRowHeight="15" x14ac:dyDescent="0.2"/>
  <cols>
    <col min="1" max="1" width="80.5703125" style="1" customWidth="1"/>
    <col min="2" max="4" width="35.7109375" style="1" customWidth="1"/>
    <col min="5" max="5" width="35.7109375" style="2" customWidth="1"/>
    <col min="6" max="16384" width="11.42578125" style="1"/>
  </cols>
  <sheetData>
    <row r="1" spans="1:8" ht="45" customHeight="1" x14ac:dyDescent="0.2">
      <c r="A1" s="115" t="s">
        <v>79</v>
      </c>
      <c r="B1" s="114"/>
      <c r="C1" s="114"/>
      <c r="D1" s="114"/>
      <c r="E1" s="114"/>
    </row>
    <row r="2" spans="1:8" x14ac:dyDescent="0.2">
      <c r="A2" s="103"/>
      <c r="B2" s="103"/>
      <c r="C2" s="103"/>
      <c r="D2" s="103"/>
      <c r="E2" s="103"/>
    </row>
    <row r="3" spans="1:8" ht="30" customHeight="1" x14ac:dyDescent="0.2">
      <c r="A3" s="102" t="s">
        <v>78</v>
      </c>
      <c r="B3" s="23" t="s">
        <v>20</v>
      </c>
      <c r="C3" s="23" t="s">
        <v>19</v>
      </c>
      <c r="D3" s="23" t="s">
        <v>18</v>
      </c>
      <c r="E3" s="22" t="s">
        <v>17</v>
      </c>
    </row>
    <row r="4" spans="1:8" s="90" customFormat="1" ht="22.5" customHeight="1" x14ac:dyDescent="0.2">
      <c r="A4" s="113" t="s">
        <v>77</v>
      </c>
      <c r="B4" s="109">
        <v>200</v>
      </c>
      <c r="C4" s="108">
        <v>12</v>
      </c>
      <c r="D4" s="107">
        <f>B4*12</f>
        <v>2400</v>
      </c>
      <c r="E4" s="106"/>
    </row>
    <row r="5" spans="1:8" s="90" customFormat="1" ht="22.5" customHeight="1" x14ac:dyDescent="0.2">
      <c r="A5" s="110" t="s">
        <v>76</v>
      </c>
      <c r="B5" s="112">
        <v>49.5</v>
      </c>
      <c r="C5" s="108">
        <v>12</v>
      </c>
      <c r="D5" s="107">
        <f>B5*C5</f>
        <v>594</v>
      </c>
      <c r="E5" s="106" t="s">
        <v>1</v>
      </c>
    </row>
    <row r="6" spans="1:8" s="90" customFormat="1" ht="22.5" customHeight="1" x14ac:dyDescent="0.2">
      <c r="A6" s="110" t="s">
        <v>75</v>
      </c>
      <c r="B6" s="112">
        <f>8.29/2</f>
        <v>4.1449999999999996</v>
      </c>
      <c r="C6" s="108">
        <v>12</v>
      </c>
      <c r="D6" s="107">
        <f>B6*C6</f>
        <v>49.739999999999995</v>
      </c>
      <c r="E6" s="106" t="s">
        <v>1</v>
      </c>
    </row>
    <row r="7" spans="1:8" s="90" customFormat="1" ht="22.5" customHeight="1" x14ac:dyDescent="0.2">
      <c r="A7" s="110" t="s">
        <v>74</v>
      </c>
      <c r="B7" s="109">
        <v>6.67</v>
      </c>
      <c r="C7" s="108">
        <v>12</v>
      </c>
      <c r="D7" s="107">
        <f>B7*C7</f>
        <v>80.039999999999992</v>
      </c>
      <c r="E7" s="106" t="s">
        <v>1</v>
      </c>
      <c r="H7" s="111"/>
    </row>
    <row r="8" spans="1:8" s="90" customFormat="1" ht="22.5" customHeight="1" x14ac:dyDescent="0.2">
      <c r="A8" s="110"/>
      <c r="B8" s="109"/>
      <c r="C8" s="108"/>
      <c r="D8" s="107"/>
      <c r="E8" s="106"/>
    </row>
    <row r="9" spans="1:8" ht="22.5" customHeight="1" x14ac:dyDescent="0.25">
      <c r="A9" s="95" t="s">
        <v>73</v>
      </c>
      <c r="B9" s="94"/>
      <c r="C9" s="105"/>
      <c r="D9" s="92">
        <f>D4+D5+D6+D7</f>
        <v>3123.7799999999997</v>
      </c>
      <c r="E9" s="91"/>
    </row>
    <row r="10" spans="1:8" s="90" customFormat="1" ht="22.5" customHeight="1" x14ac:dyDescent="0.25">
      <c r="A10" s="89" t="s">
        <v>67</v>
      </c>
      <c r="B10" s="88"/>
      <c r="C10" s="104"/>
      <c r="D10" s="86">
        <f>D9/14</f>
        <v>223.12714285714284</v>
      </c>
      <c r="E10" s="85"/>
    </row>
    <row r="11" spans="1:8" x14ac:dyDescent="0.2">
      <c r="A11" s="103"/>
      <c r="B11" s="103"/>
      <c r="C11" s="103"/>
      <c r="D11" s="103"/>
      <c r="E11" s="103"/>
    </row>
    <row r="12" spans="1:8" ht="30" customHeight="1" x14ac:dyDescent="0.2">
      <c r="A12" s="102" t="s">
        <v>72</v>
      </c>
      <c r="B12" s="23" t="s">
        <v>20</v>
      </c>
      <c r="C12" s="23" t="s">
        <v>19</v>
      </c>
      <c r="D12" s="23" t="s">
        <v>18</v>
      </c>
      <c r="E12" s="22" t="s">
        <v>17</v>
      </c>
    </row>
    <row r="13" spans="1:8" s="96" customFormat="1" ht="22.5" customHeight="1" x14ac:dyDescent="0.2">
      <c r="A13" s="100" t="s">
        <v>71</v>
      </c>
      <c r="B13" s="101">
        <f>14*67.5</f>
        <v>945</v>
      </c>
      <c r="C13" s="99">
        <v>12</v>
      </c>
      <c r="D13" s="98">
        <f>B13*C13</f>
        <v>11340</v>
      </c>
      <c r="E13" s="97" t="s">
        <v>35</v>
      </c>
    </row>
    <row r="14" spans="1:8" s="96" customFormat="1" ht="22.5" customHeight="1" x14ac:dyDescent="0.2">
      <c r="A14" s="100" t="s">
        <v>70</v>
      </c>
      <c r="B14" s="98">
        <v>110</v>
      </c>
      <c r="C14" s="99">
        <v>12</v>
      </c>
      <c r="D14" s="98">
        <f>B14*C14</f>
        <v>1320</v>
      </c>
      <c r="E14" s="97" t="s">
        <v>35</v>
      </c>
    </row>
    <row r="15" spans="1:8" s="96" customFormat="1" ht="22.5" customHeight="1" x14ac:dyDescent="0.2">
      <c r="A15" s="100" t="s">
        <v>69</v>
      </c>
      <c r="B15" s="98">
        <v>600</v>
      </c>
      <c r="C15" s="99">
        <v>12</v>
      </c>
      <c r="D15" s="98">
        <f>B15*C15</f>
        <v>7200</v>
      </c>
      <c r="E15" s="97" t="s">
        <v>35</v>
      </c>
    </row>
    <row r="16" spans="1:8" s="96" customFormat="1" ht="22.5" customHeight="1" x14ac:dyDescent="0.2">
      <c r="A16" s="100"/>
      <c r="B16" s="98"/>
      <c r="C16" s="99"/>
      <c r="D16" s="98"/>
      <c r="E16" s="97"/>
    </row>
    <row r="17" spans="1:5" s="90" customFormat="1" ht="22.5" customHeight="1" x14ac:dyDescent="0.25">
      <c r="A17" s="95" t="s">
        <v>68</v>
      </c>
      <c r="B17" s="94"/>
      <c r="C17" s="93"/>
      <c r="D17" s="92">
        <f>D13+D14+D15</f>
        <v>19860</v>
      </c>
      <c r="E17" s="91"/>
    </row>
    <row r="18" spans="1:5" ht="22.5" customHeight="1" x14ac:dyDescent="0.25">
      <c r="A18" s="89" t="s">
        <v>67</v>
      </c>
      <c r="B18" s="88"/>
      <c r="C18" s="87"/>
      <c r="D18" s="86">
        <f>D17/14</f>
        <v>1418.5714285714287</v>
      </c>
      <c r="E18" s="85"/>
    </row>
    <row r="20" spans="1:5" ht="30" customHeight="1" x14ac:dyDescent="0.2">
      <c r="A20" s="84" t="s">
        <v>66</v>
      </c>
      <c r="B20" s="23" t="s">
        <v>49</v>
      </c>
      <c r="C20" s="23" t="s">
        <v>48</v>
      </c>
      <c r="D20" s="23" t="s">
        <v>47</v>
      </c>
      <c r="E20" s="22" t="s">
        <v>17</v>
      </c>
    </row>
    <row r="21" spans="1:5" ht="22.5" customHeight="1" x14ac:dyDescent="0.2">
      <c r="A21" s="70" t="s">
        <v>65</v>
      </c>
      <c r="B21" s="69">
        <v>20</v>
      </c>
      <c r="C21" s="68">
        <v>3</v>
      </c>
      <c r="D21" s="67">
        <f>B21*C21</f>
        <v>60</v>
      </c>
      <c r="E21" s="51" t="s">
        <v>64</v>
      </c>
    </row>
    <row r="22" spans="1:5" ht="22.5" customHeight="1" x14ac:dyDescent="0.2">
      <c r="A22" s="70" t="s">
        <v>63</v>
      </c>
      <c r="B22" s="69">
        <v>55</v>
      </c>
      <c r="C22" s="68">
        <v>3</v>
      </c>
      <c r="D22" s="67">
        <f>B22*C22</f>
        <v>165</v>
      </c>
      <c r="E22" s="51" t="s">
        <v>43</v>
      </c>
    </row>
    <row r="23" spans="1:5" ht="22.5" customHeight="1" x14ac:dyDescent="0.2">
      <c r="A23" s="70" t="s">
        <v>62</v>
      </c>
      <c r="B23" s="69">
        <v>50</v>
      </c>
      <c r="C23" s="68">
        <v>3</v>
      </c>
      <c r="D23" s="67">
        <f>B23*C23</f>
        <v>150</v>
      </c>
      <c r="E23" s="51" t="s">
        <v>43</v>
      </c>
    </row>
    <row r="24" spans="1:5" ht="22.5" customHeight="1" x14ac:dyDescent="0.2">
      <c r="A24" s="70" t="s">
        <v>61</v>
      </c>
      <c r="B24" s="69">
        <v>180</v>
      </c>
      <c r="C24" s="68">
        <v>3</v>
      </c>
      <c r="D24" s="67">
        <f>B24*C24</f>
        <v>540</v>
      </c>
      <c r="E24" s="51" t="s">
        <v>43</v>
      </c>
    </row>
    <row r="25" spans="1:5" ht="22.5" customHeight="1" x14ac:dyDescent="0.2">
      <c r="A25" s="70" t="s">
        <v>60</v>
      </c>
      <c r="B25" s="69">
        <v>50</v>
      </c>
      <c r="C25" s="68">
        <v>3</v>
      </c>
      <c r="D25" s="67">
        <f>B25*C25</f>
        <v>150</v>
      </c>
      <c r="E25" s="51" t="s">
        <v>43</v>
      </c>
    </row>
    <row r="26" spans="1:5" ht="22.5" customHeight="1" x14ac:dyDescent="0.2">
      <c r="A26" s="70" t="s">
        <v>59</v>
      </c>
      <c r="B26" s="69">
        <v>299</v>
      </c>
      <c r="C26" s="68">
        <v>3</v>
      </c>
      <c r="D26" s="67">
        <f>B26*C26</f>
        <v>897</v>
      </c>
      <c r="E26" s="51" t="s">
        <v>43</v>
      </c>
    </row>
    <row r="27" spans="1:5" ht="22.5" customHeight="1" x14ac:dyDescent="0.2">
      <c r="A27" s="70" t="s">
        <v>58</v>
      </c>
      <c r="B27" s="83">
        <v>160</v>
      </c>
      <c r="C27" s="68">
        <v>3</v>
      </c>
      <c r="D27" s="67">
        <f>B27*C27</f>
        <v>480</v>
      </c>
      <c r="E27" s="51" t="s">
        <v>43</v>
      </c>
    </row>
    <row r="28" spans="1:5" ht="30.75" customHeight="1" x14ac:dyDescent="0.25">
      <c r="A28" s="66" t="s">
        <v>57</v>
      </c>
      <c r="B28" s="82"/>
      <c r="C28" s="64"/>
      <c r="D28" s="81">
        <f>D21+D22+D23+D24+D25+D26+D27</f>
        <v>2442</v>
      </c>
      <c r="E28" s="80"/>
    </row>
    <row r="29" spans="1:5" x14ac:dyDescent="0.2">
      <c r="A29" s="73"/>
      <c r="B29" s="72"/>
      <c r="C29" s="71"/>
      <c r="D29" s="71"/>
    </row>
    <row r="30" spans="1:5" ht="30" customHeight="1" x14ac:dyDescent="0.2">
      <c r="A30" s="36" t="s">
        <v>56</v>
      </c>
      <c r="B30" s="23" t="s">
        <v>49</v>
      </c>
      <c r="C30" s="23" t="s">
        <v>48</v>
      </c>
      <c r="D30" s="23" t="s">
        <v>47</v>
      </c>
      <c r="E30" s="22" t="s">
        <v>17</v>
      </c>
    </row>
    <row r="31" spans="1:5" ht="22.5" customHeight="1" x14ac:dyDescent="0.2">
      <c r="A31" s="70" t="s">
        <v>55</v>
      </c>
      <c r="B31" s="69">
        <v>27.46</v>
      </c>
      <c r="C31" s="68">
        <v>3</v>
      </c>
      <c r="D31" s="67">
        <f>B31*C31</f>
        <v>82.38</v>
      </c>
      <c r="E31" s="51" t="s">
        <v>43</v>
      </c>
    </row>
    <row r="32" spans="1:5" ht="22.5" customHeight="1" x14ac:dyDescent="0.2">
      <c r="A32" s="70" t="s">
        <v>54</v>
      </c>
      <c r="B32" s="69">
        <v>37.5</v>
      </c>
      <c r="C32" s="68">
        <v>3</v>
      </c>
      <c r="D32" s="79">
        <f>B32*C32</f>
        <v>112.5</v>
      </c>
      <c r="E32" s="51" t="s">
        <v>43</v>
      </c>
    </row>
    <row r="33" spans="1:5" ht="22.5" customHeight="1" x14ac:dyDescent="0.2">
      <c r="A33" s="70" t="s">
        <v>53</v>
      </c>
      <c r="B33" s="69">
        <v>342.6</v>
      </c>
      <c r="C33" s="68">
        <v>3</v>
      </c>
      <c r="D33" s="79">
        <f>B33*C33</f>
        <v>1027.8000000000002</v>
      </c>
      <c r="E33" s="51" t="s">
        <v>43</v>
      </c>
    </row>
    <row r="34" spans="1:5" ht="22.5" customHeight="1" x14ac:dyDescent="0.2">
      <c r="A34" s="70" t="s">
        <v>52</v>
      </c>
      <c r="B34" s="69">
        <v>44.36</v>
      </c>
      <c r="C34" s="68">
        <v>3</v>
      </c>
      <c r="D34" s="79">
        <f>B34*C34</f>
        <v>133.07999999999998</v>
      </c>
      <c r="E34" s="51" t="s">
        <v>43</v>
      </c>
    </row>
    <row r="35" spans="1:5" ht="30" customHeight="1" x14ac:dyDescent="0.25">
      <c r="A35" s="78" t="s">
        <v>51</v>
      </c>
      <c r="B35" s="77"/>
      <c r="C35" s="76"/>
      <c r="D35" s="75">
        <f>D31+D32+D33+D34</f>
        <v>1355.7600000000002</v>
      </c>
      <c r="E35" s="74"/>
    </row>
    <row r="36" spans="1:5" x14ac:dyDescent="0.2">
      <c r="A36" s="73"/>
      <c r="B36" s="72"/>
      <c r="C36" s="71"/>
      <c r="D36" s="71"/>
    </row>
    <row r="37" spans="1:5" ht="30" customHeight="1" x14ac:dyDescent="0.2">
      <c r="A37" s="36" t="s">
        <v>50</v>
      </c>
      <c r="B37" s="23" t="s">
        <v>49</v>
      </c>
      <c r="C37" s="23" t="s">
        <v>48</v>
      </c>
      <c r="D37" s="23" t="s">
        <v>47</v>
      </c>
      <c r="E37" s="22" t="s">
        <v>17</v>
      </c>
    </row>
    <row r="38" spans="1:5" ht="22.5" customHeight="1" x14ac:dyDescent="0.2">
      <c r="A38" s="70" t="s">
        <v>46</v>
      </c>
      <c r="B38" s="69">
        <f>27.03+48.4</f>
        <v>75.430000000000007</v>
      </c>
      <c r="C38" s="68">
        <v>3</v>
      </c>
      <c r="D38" s="67">
        <f>B38*C38</f>
        <v>226.29000000000002</v>
      </c>
      <c r="E38" s="51" t="s">
        <v>43</v>
      </c>
    </row>
    <row r="39" spans="1:5" ht="22.5" customHeight="1" x14ac:dyDescent="0.2">
      <c r="A39" s="70" t="s">
        <v>45</v>
      </c>
      <c r="B39" s="69">
        <v>705.5</v>
      </c>
      <c r="C39" s="68">
        <v>3</v>
      </c>
      <c r="D39" s="67">
        <f>B39*C39</f>
        <v>2116.5</v>
      </c>
      <c r="E39" s="51" t="s">
        <v>1</v>
      </c>
    </row>
    <row r="40" spans="1:5" ht="22.5" customHeight="1" x14ac:dyDescent="0.2">
      <c r="A40" s="70" t="s">
        <v>44</v>
      </c>
      <c r="B40" s="69">
        <v>46.05</v>
      </c>
      <c r="C40" s="68">
        <v>3</v>
      </c>
      <c r="D40" s="67">
        <f>B40*C40</f>
        <v>138.14999999999998</v>
      </c>
      <c r="E40" s="51" t="s">
        <v>43</v>
      </c>
    </row>
    <row r="41" spans="1:5" ht="22.5" customHeight="1" x14ac:dyDescent="0.2">
      <c r="A41" s="70" t="s">
        <v>42</v>
      </c>
      <c r="B41" s="69">
        <v>40</v>
      </c>
      <c r="C41" s="68">
        <v>3</v>
      </c>
      <c r="D41" s="67">
        <f>B41*C41</f>
        <v>120</v>
      </c>
      <c r="E41" s="51" t="s">
        <v>1</v>
      </c>
    </row>
    <row r="42" spans="1:5" ht="22.5" customHeight="1" x14ac:dyDescent="0.2">
      <c r="A42" s="8" t="s">
        <v>41</v>
      </c>
      <c r="B42" s="52">
        <v>200</v>
      </c>
      <c r="C42" s="68">
        <v>3</v>
      </c>
      <c r="D42" s="67">
        <f>B42*C42</f>
        <v>600</v>
      </c>
      <c r="E42" s="51" t="s">
        <v>1</v>
      </c>
    </row>
    <row r="43" spans="1:5" ht="22.5" customHeight="1" x14ac:dyDescent="0.2">
      <c r="A43" s="8" t="s">
        <v>40</v>
      </c>
      <c r="B43" s="52">
        <v>50</v>
      </c>
      <c r="C43" s="68">
        <v>3</v>
      </c>
      <c r="D43" s="67">
        <f>B43*C43</f>
        <v>150</v>
      </c>
      <c r="E43" s="51" t="s">
        <v>1</v>
      </c>
    </row>
    <row r="44" spans="1:5" ht="30" customHeight="1" x14ac:dyDescent="0.2">
      <c r="A44" s="66" t="s">
        <v>39</v>
      </c>
      <c r="B44" s="66"/>
      <c r="C44" s="66"/>
      <c r="D44" s="65">
        <f>SUM(D38:D43)</f>
        <v>3350.94</v>
      </c>
      <c r="E44" s="64"/>
    </row>
    <row r="46" spans="1:5" ht="30" customHeight="1" x14ac:dyDescent="0.2">
      <c r="A46" s="36" t="s">
        <v>38</v>
      </c>
      <c r="B46" s="23" t="s">
        <v>20</v>
      </c>
      <c r="C46" s="23" t="s">
        <v>19</v>
      </c>
      <c r="D46" s="23" t="s">
        <v>18</v>
      </c>
      <c r="E46" s="22" t="s">
        <v>17</v>
      </c>
    </row>
    <row r="47" spans="1:5" ht="22.5" customHeight="1" x14ac:dyDescent="0.25">
      <c r="A47" s="21" t="s">
        <v>16</v>
      </c>
      <c r="B47" s="63">
        <v>326</v>
      </c>
      <c r="C47" s="19">
        <v>12</v>
      </c>
      <c r="D47" s="54">
        <f>B47*C47</f>
        <v>3912</v>
      </c>
      <c r="E47" s="62" t="s">
        <v>35</v>
      </c>
    </row>
    <row r="48" spans="1:5" ht="22.5" customHeight="1" x14ac:dyDescent="0.25">
      <c r="A48" s="10" t="s">
        <v>15</v>
      </c>
      <c r="B48" s="61">
        <v>384</v>
      </c>
      <c r="C48" s="8">
        <v>12</v>
      </c>
      <c r="D48" s="56">
        <f>B48*C48</f>
        <v>4608</v>
      </c>
      <c r="E48" s="53" t="s">
        <v>35</v>
      </c>
    </row>
    <row r="49" spans="1:5" ht="22.5" customHeight="1" x14ac:dyDescent="0.25">
      <c r="A49" s="12" t="s">
        <v>14</v>
      </c>
      <c r="B49" s="57">
        <v>240</v>
      </c>
      <c r="C49" s="8">
        <v>12</v>
      </c>
      <c r="D49" s="58">
        <f>B49*C49</f>
        <v>2880</v>
      </c>
      <c r="E49" s="51" t="s">
        <v>1</v>
      </c>
    </row>
    <row r="50" spans="1:5" ht="22.5" customHeight="1" x14ac:dyDescent="0.25">
      <c r="A50" s="16" t="s">
        <v>13</v>
      </c>
      <c r="B50" s="44">
        <v>243.5</v>
      </c>
      <c r="C50" s="8">
        <v>12</v>
      </c>
      <c r="D50" s="60">
        <f>B50*C50</f>
        <v>2922</v>
      </c>
      <c r="E50" s="51" t="s">
        <v>1</v>
      </c>
    </row>
    <row r="51" spans="1:5" ht="22.5" customHeight="1" x14ac:dyDescent="0.25">
      <c r="A51" s="59" t="s">
        <v>12</v>
      </c>
      <c r="B51" s="55">
        <v>314.98</v>
      </c>
      <c r="C51" s="8">
        <v>12</v>
      </c>
      <c r="D51" s="56">
        <f>B51*C51</f>
        <v>3779.76</v>
      </c>
      <c r="E51" s="53" t="s">
        <v>35</v>
      </c>
    </row>
    <row r="52" spans="1:5" ht="22.5" customHeight="1" x14ac:dyDescent="0.25">
      <c r="A52" s="59" t="s">
        <v>11</v>
      </c>
      <c r="B52" s="55">
        <v>312.56</v>
      </c>
      <c r="C52" s="8">
        <v>12</v>
      </c>
      <c r="D52" s="56">
        <f>B52*C52</f>
        <v>3750.7200000000003</v>
      </c>
      <c r="E52" s="53" t="s">
        <v>35</v>
      </c>
    </row>
    <row r="53" spans="1:5" ht="22.5" customHeight="1" x14ac:dyDescent="0.25">
      <c r="A53" s="12" t="s">
        <v>10</v>
      </c>
      <c r="B53" s="57">
        <v>240</v>
      </c>
      <c r="C53" s="8">
        <v>12</v>
      </c>
      <c r="D53" s="56">
        <f>B53*C53</f>
        <v>2880</v>
      </c>
      <c r="E53" s="51" t="s">
        <v>1</v>
      </c>
    </row>
    <row r="54" spans="1:5" ht="22.5" customHeight="1" x14ac:dyDescent="0.25">
      <c r="A54" s="12" t="s">
        <v>9</v>
      </c>
      <c r="B54" s="55">
        <v>384</v>
      </c>
      <c r="C54" s="8">
        <v>12</v>
      </c>
      <c r="D54" s="54">
        <f>B54*C54</f>
        <v>4608</v>
      </c>
      <c r="E54" s="53" t="s">
        <v>35</v>
      </c>
    </row>
    <row r="55" spans="1:5" ht="22.5" customHeight="1" x14ac:dyDescent="0.25">
      <c r="A55" s="12" t="s">
        <v>8</v>
      </c>
      <c r="B55" s="55">
        <v>245.61</v>
      </c>
      <c r="C55" s="8">
        <v>12</v>
      </c>
      <c r="D55" s="56">
        <f>B55*C55</f>
        <v>2947.32</v>
      </c>
      <c r="E55" s="51" t="s">
        <v>1</v>
      </c>
    </row>
    <row r="56" spans="1:5" ht="22.5" customHeight="1" x14ac:dyDescent="0.25">
      <c r="A56" s="12" t="s">
        <v>7</v>
      </c>
      <c r="B56" s="55">
        <v>150</v>
      </c>
      <c r="C56" s="8">
        <v>12</v>
      </c>
      <c r="D56" s="56">
        <f>B56*C56</f>
        <v>1800</v>
      </c>
      <c r="E56" s="53" t="s">
        <v>35</v>
      </c>
    </row>
    <row r="57" spans="1:5" ht="22.5" customHeight="1" x14ac:dyDescent="0.25">
      <c r="A57" s="12" t="s">
        <v>6</v>
      </c>
      <c r="B57" s="55">
        <v>326</v>
      </c>
      <c r="C57" s="8">
        <v>12</v>
      </c>
      <c r="D57" s="58">
        <f>B57*C57</f>
        <v>3912</v>
      </c>
      <c r="E57" s="53" t="s">
        <v>35</v>
      </c>
    </row>
    <row r="58" spans="1:5" ht="22.5" customHeight="1" x14ac:dyDescent="0.25">
      <c r="A58" s="12" t="s">
        <v>5</v>
      </c>
      <c r="B58" s="57">
        <v>165</v>
      </c>
      <c r="C58" s="8">
        <v>12</v>
      </c>
      <c r="D58" s="56">
        <f>B58*C58</f>
        <v>1980</v>
      </c>
      <c r="E58" s="51" t="s">
        <v>1</v>
      </c>
    </row>
    <row r="59" spans="1:5" ht="22.5" customHeight="1" x14ac:dyDescent="0.25">
      <c r="A59" s="12" t="s">
        <v>4</v>
      </c>
      <c r="B59" s="55">
        <v>245</v>
      </c>
      <c r="C59" s="8">
        <v>12</v>
      </c>
      <c r="D59" s="54">
        <f>B59*C59</f>
        <v>2940</v>
      </c>
      <c r="E59" s="53" t="s">
        <v>35</v>
      </c>
    </row>
    <row r="60" spans="1:5" ht="22.5" customHeight="1" x14ac:dyDescent="0.25">
      <c r="A60" s="10" t="s">
        <v>3</v>
      </c>
      <c r="B60" s="44">
        <v>326</v>
      </c>
      <c r="C60" s="8">
        <v>12</v>
      </c>
      <c r="D60" s="52">
        <f>B60*C60</f>
        <v>3912</v>
      </c>
      <c r="E60" s="53" t="s">
        <v>35</v>
      </c>
    </row>
    <row r="61" spans="1:5" ht="22.5" customHeight="1" x14ac:dyDescent="0.25">
      <c r="A61" s="10" t="s">
        <v>2</v>
      </c>
      <c r="B61" s="44"/>
      <c r="C61" s="43">
        <v>12</v>
      </c>
      <c r="D61" s="52"/>
      <c r="E61" s="51"/>
    </row>
    <row r="62" spans="1:5" ht="30" customHeight="1" x14ac:dyDescent="0.2">
      <c r="A62" s="5" t="s">
        <v>37</v>
      </c>
      <c r="B62" s="5"/>
      <c r="C62" s="5"/>
      <c r="D62" s="50">
        <f>SUM(D47:D61)</f>
        <v>46831.8</v>
      </c>
      <c r="E62" s="3"/>
    </row>
    <row r="64" spans="1:5" ht="30" customHeight="1" x14ac:dyDescent="0.2">
      <c r="A64" s="36" t="s">
        <v>36</v>
      </c>
      <c r="B64" s="39" t="s">
        <v>20</v>
      </c>
      <c r="C64" s="23" t="s">
        <v>19</v>
      </c>
      <c r="D64" s="23" t="s">
        <v>18</v>
      </c>
      <c r="E64" s="22" t="s">
        <v>17</v>
      </c>
    </row>
    <row r="65" spans="1:5" ht="22.5" customHeight="1" x14ac:dyDescent="0.25">
      <c r="A65" s="21" t="s">
        <v>16</v>
      </c>
      <c r="B65" s="49">
        <f>D65/C65</f>
        <v>166.52083333333334</v>
      </c>
      <c r="C65" s="19">
        <v>12</v>
      </c>
      <c r="D65" s="38">
        <v>1998.25</v>
      </c>
      <c r="E65" s="17" t="s">
        <v>35</v>
      </c>
    </row>
    <row r="66" spans="1:5" ht="22.5" customHeight="1" x14ac:dyDescent="0.25">
      <c r="A66" s="10" t="s">
        <v>15</v>
      </c>
      <c r="B66" s="45">
        <f>D66/C66</f>
        <v>166.52083333333334</v>
      </c>
      <c r="C66" s="8">
        <v>12</v>
      </c>
      <c r="D66" s="38">
        <v>1998.25</v>
      </c>
      <c r="E66" s="26" t="s">
        <v>35</v>
      </c>
    </row>
    <row r="67" spans="1:5" ht="22.5" customHeight="1" x14ac:dyDescent="0.25">
      <c r="A67" s="12" t="s">
        <v>14</v>
      </c>
      <c r="B67" s="46">
        <f>D67/C67</f>
        <v>150.22749999999999</v>
      </c>
      <c r="C67" s="8">
        <v>12</v>
      </c>
      <c r="D67" s="38">
        <f>847.16+955.57</f>
        <v>1802.73</v>
      </c>
      <c r="E67" s="26" t="s">
        <v>35</v>
      </c>
    </row>
    <row r="68" spans="1:5" ht="22.5" customHeight="1" x14ac:dyDescent="0.25">
      <c r="A68" s="16" t="s">
        <v>24</v>
      </c>
      <c r="B68" s="45">
        <f>D68/C68</f>
        <v>161.9</v>
      </c>
      <c r="C68" s="8">
        <v>12</v>
      </c>
      <c r="D68" s="38">
        <f>1070.17+872.63</f>
        <v>1942.8000000000002</v>
      </c>
      <c r="E68" s="26" t="s">
        <v>35</v>
      </c>
    </row>
    <row r="69" spans="1:5" ht="22.5" customHeight="1" x14ac:dyDescent="0.25">
      <c r="A69" s="15" t="s">
        <v>12</v>
      </c>
      <c r="B69" s="46">
        <f>D69/C69</f>
        <v>206.83166666666668</v>
      </c>
      <c r="C69" s="8">
        <v>12</v>
      </c>
      <c r="D69" s="38">
        <f>1214.99+1266.99</f>
        <v>2481.98</v>
      </c>
      <c r="E69" s="26" t="s">
        <v>35</v>
      </c>
    </row>
    <row r="70" spans="1:5" ht="22.5" customHeight="1" x14ac:dyDescent="0.25">
      <c r="A70" s="15" t="s">
        <v>11</v>
      </c>
      <c r="B70" s="45">
        <f>D70/C70</f>
        <v>206.83166666666668</v>
      </c>
      <c r="C70" s="8">
        <v>12</v>
      </c>
      <c r="D70" s="38">
        <f>1214.99+1266.99</f>
        <v>2481.98</v>
      </c>
      <c r="E70" s="26" t="s">
        <v>35</v>
      </c>
    </row>
    <row r="71" spans="1:5" ht="22.5" customHeight="1" x14ac:dyDescent="0.25">
      <c r="A71" s="12" t="s">
        <v>10</v>
      </c>
      <c r="B71" s="48">
        <f>D71/C71</f>
        <v>150.22749999999999</v>
      </c>
      <c r="C71" s="8">
        <v>12</v>
      </c>
      <c r="D71" s="38">
        <f>847.16+955.57</f>
        <v>1802.73</v>
      </c>
      <c r="E71" s="26" t="s">
        <v>35</v>
      </c>
    </row>
    <row r="72" spans="1:5" ht="22.5" customHeight="1" x14ac:dyDescent="0.25">
      <c r="A72" s="12" t="s">
        <v>9</v>
      </c>
      <c r="B72" s="45">
        <f>D72/C72</f>
        <v>166.52083333333334</v>
      </c>
      <c r="C72" s="8">
        <v>12</v>
      </c>
      <c r="D72" s="38">
        <v>1998.25</v>
      </c>
      <c r="E72" s="26" t="s">
        <v>35</v>
      </c>
    </row>
    <row r="73" spans="1:5" ht="22.5" customHeight="1" x14ac:dyDescent="0.25">
      <c r="A73" s="12" t="s">
        <v>8</v>
      </c>
      <c r="B73" s="46">
        <f>D73/C73</f>
        <v>150.22749999999999</v>
      </c>
      <c r="C73" s="8">
        <v>12</v>
      </c>
      <c r="D73" s="38">
        <f>847.16+955.57</f>
        <v>1802.73</v>
      </c>
      <c r="E73" s="26" t="s">
        <v>35</v>
      </c>
    </row>
    <row r="74" spans="1:5" ht="22.5" customHeight="1" x14ac:dyDescent="0.25">
      <c r="A74" s="12" t="s">
        <v>7</v>
      </c>
      <c r="B74" s="45">
        <f>D74/C74</f>
        <v>151.59583333333333</v>
      </c>
      <c r="C74" s="8">
        <v>12</v>
      </c>
      <c r="D74" s="38">
        <v>1819.15</v>
      </c>
      <c r="E74" s="26" t="s">
        <v>35</v>
      </c>
    </row>
    <row r="75" spans="1:5" ht="22.5" customHeight="1" x14ac:dyDescent="0.25">
      <c r="A75" s="12" t="s">
        <v>6</v>
      </c>
      <c r="B75" s="47">
        <f>D75/C75</f>
        <v>166.52083333333334</v>
      </c>
      <c r="C75" s="8">
        <v>12</v>
      </c>
      <c r="D75" s="38">
        <v>1998.25</v>
      </c>
      <c r="E75" s="26" t="s">
        <v>35</v>
      </c>
    </row>
    <row r="76" spans="1:5" ht="22.5" customHeight="1" x14ac:dyDescent="0.25">
      <c r="A76" s="12" t="s">
        <v>5</v>
      </c>
      <c r="B76" s="47">
        <f>D76/C76</f>
        <v>166.52083333333334</v>
      </c>
      <c r="C76" s="8">
        <v>12</v>
      </c>
      <c r="D76" s="38">
        <v>1998.25</v>
      </c>
      <c r="E76" s="26" t="s">
        <v>35</v>
      </c>
    </row>
    <row r="77" spans="1:5" ht="22.5" customHeight="1" x14ac:dyDescent="0.25">
      <c r="A77" s="12" t="s">
        <v>4</v>
      </c>
      <c r="B77" s="46">
        <f>D77/C77</f>
        <v>139.35916666666665</v>
      </c>
      <c r="C77" s="8">
        <v>12</v>
      </c>
      <c r="D77" s="38">
        <f>771.24+901.07</f>
        <v>1672.31</v>
      </c>
      <c r="E77" s="26" t="s">
        <v>35</v>
      </c>
    </row>
    <row r="78" spans="1:5" ht="22.5" customHeight="1" x14ac:dyDescent="0.25">
      <c r="A78" s="10" t="s">
        <v>3</v>
      </c>
      <c r="B78" s="45">
        <f>D78/C78</f>
        <v>166.52083333333334</v>
      </c>
      <c r="C78" s="8">
        <v>12</v>
      </c>
      <c r="D78" s="37">
        <v>1998.25</v>
      </c>
      <c r="E78" s="26" t="s">
        <v>35</v>
      </c>
    </row>
    <row r="79" spans="1:5" ht="22.5" customHeight="1" x14ac:dyDescent="0.25">
      <c r="A79" s="10" t="s">
        <v>2</v>
      </c>
      <c r="B79" s="44">
        <f>D79/C79</f>
        <v>166.52083333333334</v>
      </c>
      <c r="C79" s="43">
        <v>12</v>
      </c>
      <c r="D79" s="37">
        <v>1998.25</v>
      </c>
      <c r="E79" s="6" t="s">
        <v>1</v>
      </c>
    </row>
    <row r="80" spans="1:5" s="41" customFormat="1" ht="30" customHeight="1" x14ac:dyDescent="0.25">
      <c r="A80" s="5" t="s">
        <v>34</v>
      </c>
      <c r="B80" s="5"/>
      <c r="C80" s="5"/>
      <c r="D80" s="42">
        <f>SUM(D65:D79)</f>
        <v>29794.160000000003</v>
      </c>
      <c r="E80" s="3"/>
    </row>
    <row r="82" spans="1:5" ht="30" customHeight="1" x14ac:dyDescent="0.2">
      <c r="A82" s="40" t="s">
        <v>33</v>
      </c>
      <c r="B82" s="39" t="s">
        <v>20</v>
      </c>
      <c r="C82" s="23" t="s">
        <v>19</v>
      </c>
      <c r="D82" s="23" t="s">
        <v>18</v>
      </c>
      <c r="E82" s="22" t="s">
        <v>17</v>
      </c>
    </row>
    <row r="83" spans="1:5" ht="23.25" customHeight="1" x14ac:dyDescent="0.25">
      <c r="A83" s="21" t="s">
        <v>16</v>
      </c>
      <c r="B83" s="20">
        <f>D83/C83</f>
        <v>15.563333333333333</v>
      </c>
      <c r="C83" s="19">
        <v>12</v>
      </c>
      <c r="D83" s="29">
        <f>186.76</f>
        <v>186.76</v>
      </c>
      <c r="E83" s="17" t="s">
        <v>30</v>
      </c>
    </row>
    <row r="84" spans="1:5" ht="23.25" customHeight="1" x14ac:dyDescent="0.25">
      <c r="A84" s="10" t="s">
        <v>15</v>
      </c>
      <c r="B84" s="9">
        <f>D84/C84</f>
        <v>30.536666666666665</v>
      </c>
      <c r="C84" s="8">
        <v>12</v>
      </c>
      <c r="D84" s="38">
        <v>366.44</v>
      </c>
      <c r="E84" s="26" t="s">
        <v>30</v>
      </c>
    </row>
    <row r="85" spans="1:5" ht="23.25" customHeight="1" x14ac:dyDescent="0.25">
      <c r="A85" s="12" t="s">
        <v>14</v>
      </c>
      <c r="B85" s="11">
        <f>D85/C85</f>
        <v>9.980833333333333</v>
      </c>
      <c r="C85" s="8">
        <v>12</v>
      </c>
      <c r="D85" s="38">
        <f>119.77</f>
        <v>119.77</v>
      </c>
      <c r="E85" s="26" t="s">
        <v>30</v>
      </c>
    </row>
    <row r="86" spans="1:5" ht="23.25" customHeight="1" x14ac:dyDescent="0.25">
      <c r="A86" s="16" t="s">
        <v>13</v>
      </c>
      <c r="B86" s="9">
        <f>D86/C86</f>
        <v>83.333333333333329</v>
      </c>
      <c r="C86" s="8">
        <v>12</v>
      </c>
      <c r="D86" s="38">
        <v>1000</v>
      </c>
      <c r="E86" s="26" t="s">
        <v>32</v>
      </c>
    </row>
    <row r="87" spans="1:5" ht="23.25" customHeight="1" x14ac:dyDescent="0.25">
      <c r="A87" s="15" t="s">
        <v>12</v>
      </c>
      <c r="B87" s="11">
        <f>D87/C87</f>
        <v>47.587499999999999</v>
      </c>
      <c r="C87" s="8">
        <v>12</v>
      </c>
      <c r="D87" s="38">
        <v>571.04999999999995</v>
      </c>
      <c r="E87" s="26" t="s">
        <v>30</v>
      </c>
    </row>
    <row r="88" spans="1:5" ht="23.25" customHeight="1" x14ac:dyDescent="0.25">
      <c r="A88" s="15" t="s">
        <v>11</v>
      </c>
      <c r="B88" s="9">
        <f>D88/C88</f>
        <v>41.666666666666664</v>
      </c>
      <c r="C88" s="8">
        <v>12</v>
      </c>
      <c r="D88" s="38">
        <v>500</v>
      </c>
      <c r="E88" s="26" t="s">
        <v>30</v>
      </c>
    </row>
    <row r="89" spans="1:5" ht="23.25" customHeight="1" x14ac:dyDescent="0.25">
      <c r="A89" s="12" t="s">
        <v>10</v>
      </c>
      <c r="B89" s="14">
        <f>D89/C89</f>
        <v>74.333333333333329</v>
      </c>
      <c r="C89" s="8">
        <v>12</v>
      </c>
      <c r="D89" s="38">
        <v>892</v>
      </c>
      <c r="E89" s="26" t="s">
        <v>30</v>
      </c>
    </row>
    <row r="90" spans="1:5" ht="23.25" customHeight="1" x14ac:dyDescent="0.25">
      <c r="A90" s="12" t="s">
        <v>9</v>
      </c>
      <c r="B90" s="9">
        <f>D90/C90</f>
        <v>19.5</v>
      </c>
      <c r="C90" s="8">
        <v>12</v>
      </c>
      <c r="D90" s="38">
        <v>234</v>
      </c>
      <c r="E90" s="26" t="s">
        <v>30</v>
      </c>
    </row>
    <row r="91" spans="1:5" ht="23.25" customHeight="1" x14ac:dyDescent="0.25">
      <c r="A91" s="12" t="s">
        <v>8</v>
      </c>
      <c r="B91" s="11">
        <f>D91/C91</f>
        <v>55</v>
      </c>
      <c r="C91" s="8">
        <v>12</v>
      </c>
      <c r="D91" s="38">
        <v>660</v>
      </c>
      <c r="E91" s="26" t="s">
        <v>30</v>
      </c>
    </row>
    <row r="92" spans="1:5" ht="23.25" customHeight="1" x14ac:dyDescent="0.25">
      <c r="A92" s="12" t="s">
        <v>7</v>
      </c>
      <c r="B92" s="9">
        <f>D92/C92</f>
        <v>18.75</v>
      </c>
      <c r="C92" s="8">
        <v>12</v>
      </c>
      <c r="D92" s="38">
        <v>225</v>
      </c>
      <c r="E92" s="26" t="s">
        <v>31</v>
      </c>
    </row>
    <row r="93" spans="1:5" ht="23.25" customHeight="1" x14ac:dyDescent="0.25">
      <c r="A93" s="12" t="s">
        <v>6</v>
      </c>
      <c r="B93" s="13">
        <f>D93/C93</f>
        <v>31.666666666666668</v>
      </c>
      <c r="C93" s="8">
        <v>12</v>
      </c>
      <c r="D93" s="38">
        <v>380</v>
      </c>
      <c r="E93" s="26" t="s">
        <v>30</v>
      </c>
    </row>
    <row r="94" spans="1:5" ht="23.25" customHeight="1" x14ac:dyDescent="0.25">
      <c r="A94" s="12" t="s">
        <v>5</v>
      </c>
      <c r="B94" s="13">
        <f>D94/C94</f>
        <v>25</v>
      </c>
      <c r="C94" s="8">
        <v>12</v>
      </c>
      <c r="D94" s="38">
        <v>300</v>
      </c>
      <c r="E94" s="26" t="s">
        <v>31</v>
      </c>
    </row>
    <row r="95" spans="1:5" ht="23.25" customHeight="1" x14ac:dyDescent="0.25">
      <c r="A95" s="12" t="s">
        <v>4</v>
      </c>
      <c r="B95" s="11">
        <f>D95/C95</f>
        <v>29.7075</v>
      </c>
      <c r="C95" s="8">
        <v>12</v>
      </c>
      <c r="D95" s="38">
        <f>356.49</f>
        <v>356.49</v>
      </c>
      <c r="E95" s="26" t="s">
        <v>30</v>
      </c>
    </row>
    <row r="96" spans="1:5" ht="23.25" customHeight="1" x14ac:dyDescent="0.25">
      <c r="A96" s="10" t="s">
        <v>3</v>
      </c>
      <c r="B96" s="9">
        <f>D96/C96</f>
        <v>36.488333333333337</v>
      </c>
      <c r="C96" s="8">
        <v>12</v>
      </c>
      <c r="D96" s="38">
        <v>437.86</v>
      </c>
      <c r="E96" s="26" t="s">
        <v>30</v>
      </c>
    </row>
    <row r="97" spans="1:5" ht="23.25" customHeight="1" x14ac:dyDescent="0.25">
      <c r="A97" s="10" t="s">
        <v>2</v>
      </c>
      <c r="B97" s="34">
        <f>D97/C97</f>
        <v>25</v>
      </c>
      <c r="C97" s="8">
        <v>12</v>
      </c>
      <c r="D97" s="37">
        <v>300</v>
      </c>
      <c r="E97" s="6" t="s">
        <v>1</v>
      </c>
    </row>
    <row r="98" spans="1:5" ht="30" customHeight="1" x14ac:dyDescent="0.2">
      <c r="A98" s="5" t="s">
        <v>29</v>
      </c>
      <c r="B98" s="5"/>
      <c r="C98" s="5"/>
      <c r="D98" s="4">
        <f>SUM(D83:D97)</f>
        <v>6529.37</v>
      </c>
      <c r="E98" s="3"/>
    </row>
    <row r="100" spans="1:5" ht="30" customHeight="1" x14ac:dyDescent="0.2">
      <c r="A100" s="36" t="s">
        <v>28</v>
      </c>
      <c r="B100" s="23" t="s">
        <v>20</v>
      </c>
      <c r="C100" s="23" t="s">
        <v>19</v>
      </c>
      <c r="D100" s="23" t="s">
        <v>18</v>
      </c>
      <c r="E100" s="22" t="s">
        <v>17</v>
      </c>
    </row>
    <row r="101" spans="1:5" ht="22.5" customHeight="1" x14ac:dyDescent="0.25">
      <c r="A101" s="21" t="s">
        <v>16</v>
      </c>
      <c r="B101" s="20">
        <f>D101/C101</f>
        <v>20</v>
      </c>
      <c r="C101" s="19">
        <v>12</v>
      </c>
      <c r="D101" s="18">
        <v>240</v>
      </c>
      <c r="E101" s="17" t="s">
        <v>27</v>
      </c>
    </row>
    <row r="102" spans="1:5" ht="22.5" customHeight="1" x14ac:dyDescent="0.25">
      <c r="A102" s="10" t="s">
        <v>15</v>
      </c>
      <c r="B102" s="9">
        <f>D102/C102</f>
        <v>11.666666666666666</v>
      </c>
      <c r="C102" s="8">
        <v>12</v>
      </c>
      <c r="D102" s="7">
        <v>140</v>
      </c>
      <c r="E102" s="26" t="s">
        <v>27</v>
      </c>
    </row>
    <row r="103" spans="1:5" ht="22.5" customHeight="1" x14ac:dyDescent="0.25">
      <c r="A103" s="12" t="s">
        <v>14</v>
      </c>
      <c r="B103" s="11">
        <f>D103/C103</f>
        <v>11.666666666666666</v>
      </c>
      <c r="C103" s="8">
        <v>12</v>
      </c>
      <c r="D103" s="25">
        <v>140</v>
      </c>
      <c r="E103" s="26" t="s">
        <v>27</v>
      </c>
    </row>
    <row r="104" spans="1:5" ht="22.5" customHeight="1" x14ac:dyDescent="0.25">
      <c r="A104" s="16" t="s">
        <v>13</v>
      </c>
      <c r="B104" s="9">
        <f>D104/C104</f>
        <v>20</v>
      </c>
      <c r="C104" s="8">
        <v>12</v>
      </c>
      <c r="D104" s="25">
        <v>240</v>
      </c>
      <c r="E104" s="26" t="s">
        <v>27</v>
      </c>
    </row>
    <row r="105" spans="1:5" ht="22.5" customHeight="1" x14ac:dyDescent="0.25">
      <c r="A105" s="15" t="s">
        <v>12</v>
      </c>
      <c r="B105" s="11">
        <f>D105/C105</f>
        <v>20</v>
      </c>
      <c r="C105" s="8">
        <v>12</v>
      </c>
      <c r="D105" s="25">
        <v>240</v>
      </c>
      <c r="E105" s="26" t="s">
        <v>27</v>
      </c>
    </row>
    <row r="106" spans="1:5" ht="22.5" customHeight="1" x14ac:dyDescent="0.25">
      <c r="A106" s="15" t="s">
        <v>11</v>
      </c>
      <c r="B106" s="9">
        <f>D106/C106</f>
        <v>20</v>
      </c>
      <c r="C106" s="8">
        <v>12</v>
      </c>
      <c r="D106" s="25">
        <v>240</v>
      </c>
      <c r="E106" s="26" t="s">
        <v>27</v>
      </c>
    </row>
    <row r="107" spans="1:5" ht="22.5" customHeight="1" x14ac:dyDescent="0.25">
      <c r="A107" s="12" t="s">
        <v>10</v>
      </c>
      <c r="B107" s="14">
        <f>D107/C107</f>
        <v>11.666666666666666</v>
      </c>
      <c r="C107" s="8">
        <v>12</v>
      </c>
      <c r="D107" s="25">
        <v>140</v>
      </c>
      <c r="E107" s="26" t="s">
        <v>27</v>
      </c>
    </row>
    <row r="108" spans="1:5" ht="22.5" customHeight="1" x14ac:dyDescent="0.25">
      <c r="A108" s="12" t="s">
        <v>9</v>
      </c>
      <c r="B108" s="9">
        <f>D108/C108</f>
        <v>11.666666666666666</v>
      </c>
      <c r="C108" s="8">
        <v>12</v>
      </c>
      <c r="D108" s="25">
        <v>140</v>
      </c>
      <c r="E108" s="26" t="s">
        <v>27</v>
      </c>
    </row>
    <row r="109" spans="1:5" ht="22.5" customHeight="1" x14ac:dyDescent="0.25">
      <c r="A109" s="12" t="s">
        <v>8</v>
      </c>
      <c r="B109" s="11">
        <f>D109/C109</f>
        <v>20</v>
      </c>
      <c r="C109" s="8">
        <v>12</v>
      </c>
      <c r="D109" s="25">
        <v>240</v>
      </c>
      <c r="E109" s="26" t="s">
        <v>27</v>
      </c>
    </row>
    <row r="110" spans="1:5" ht="22.5" customHeight="1" x14ac:dyDescent="0.25">
      <c r="A110" s="12" t="s">
        <v>7</v>
      </c>
      <c r="B110" s="9">
        <f>D110/C110</f>
        <v>20</v>
      </c>
      <c r="C110" s="8">
        <v>12</v>
      </c>
      <c r="D110" s="25">
        <v>240</v>
      </c>
      <c r="E110" s="26" t="s">
        <v>27</v>
      </c>
    </row>
    <row r="111" spans="1:5" ht="22.5" customHeight="1" x14ac:dyDescent="0.25">
      <c r="A111" s="12" t="s">
        <v>6</v>
      </c>
      <c r="B111" s="13">
        <f>D111/C111</f>
        <v>11.666666666666666</v>
      </c>
      <c r="C111" s="8">
        <v>12</v>
      </c>
      <c r="D111" s="35">
        <v>140</v>
      </c>
      <c r="E111" s="26" t="s">
        <v>27</v>
      </c>
    </row>
    <row r="112" spans="1:5" ht="22.5" customHeight="1" x14ac:dyDescent="0.25">
      <c r="A112" s="12" t="s">
        <v>5</v>
      </c>
      <c r="B112" s="13">
        <f>D112/C112</f>
        <v>11.666666666666666</v>
      </c>
      <c r="C112" s="8">
        <v>12</v>
      </c>
      <c r="D112" s="25">
        <v>140</v>
      </c>
      <c r="E112" s="26" t="s">
        <v>27</v>
      </c>
    </row>
    <row r="113" spans="1:5" ht="22.5" customHeight="1" x14ac:dyDescent="0.25">
      <c r="A113" s="12" t="s">
        <v>4</v>
      </c>
      <c r="B113" s="11">
        <f>D113/C113</f>
        <v>20</v>
      </c>
      <c r="C113" s="8">
        <v>12</v>
      </c>
      <c r="D113" s="25">
        <v>240</v>
      </c>
      <c r="E113" s="26" t="s">
        <v>27</v>
      </c>
    </row>
    <row r="114" spans="1:5" ht="22.5" customHeight="1" x14ac:dyDescent="0.25">
      <c r="A114" s="10" t="s">
        <v>3</v>
      </c>
      <c r="B114" s="9">
        <f>D114/C114</f>
        <v>20</v>
      </c>
      <c r="C114" s="8">
        <v>12</v>
      </c>
      <c r="D114" s="25">
        <v>240</v>
      </c>
      <c r="E114" s="6" t="s">
        <v>27</v>
      </c>
    </row>
    <row r="115" spans="1:5" ht="22.5" customHeight="1" x14ac:dyDescent="0.25">
      <c r="A115" s="10" t="s">
        <v>2</v>
      </c>
      <c r="B115" s="34">
        <f>D115/C115</f>
        <v>11.666666666666666</v>
      </c>
      <c r="C115" s="8">
        <v>12</v>
      </c>
      <c r="D115" s="25">
        <v>140</v>
      </c>
      <c r="E115" s="6" t="s">
        <v>1</v>
      </c>
    </row>
    <row r="116" spans="1:5" ht="30" customHeight="1" x14ac:dyDescent="0.2">
      <c r="A116" s="32" t="s">
        <v>26</v>
      </c>
      <c r="B116" s="32"/>
      <c r="C116" s="32"/>
      <c r="D116" s="33">
        <f>SUM(D101:D115)</f>
        <v>2900</v>
      </c>
      <c r="E116" s="32"/>
    </row>
    <row r="118" spans="1:5" ht="30" customHeight="1" x14ac:dyDescent="0.2">
      <c r="A118" s="31" t="s">
        <v>25</v>
      </c>
      <c r="B118" s="23" t="s">
        <v>20</v>
      </c>
      <c r="C118" s="23" t="s">
        <v>19</v>
      </c>
      <c r="D118" s="23" t="s">
        <v>18</v>
      </c>
      <c r="E118" s="22" t="s">
        <v>17</v>
      </c>
    </row>
    <row r="119" spans="1:5" ht="23.25" customHeight="1" x14ac:dyDescent="0.25">
      <c r="A119" s="21" t="s">
        <v>16</v>
      </c>
      <c r="B119" s="20">
        <f>D119/C119</f>
        <v>0</v>
      </c>
      <c r="C119" s="19">
        <v>12</v>
      </c>
      <c r="D119" s="30">
        <v>0</v>
      </c>
      <c r="E119" s="17" t="s">
        <v>23</v>
      </c>
    </row>
    <row r="120" spans="1:5" ht="23.25" customHeight="1" x14ac:dyDescent="0.25">
      <c r="A120" s="10" t="s">
        <v>15</v>
      </c>
      <c r="B120" s="9">
        <f>D120/C120</f>
        <v>0</v>
      </c>
      <c r="C120" s="8">
        <v>12</v>
      </c>
      <c r="D120" s="25">
        <v>0</v>
      </c>
      <c r="E120" s="26" t="s">
        <v>23</v>
      </c>
    </row>
    <row r="121" spans="1:5" ht="23.25" customHeight="1" x14ac:dyDescent="0.25">
      <c r="A121" s="12" t="s">
        <v>14</v>
      </c>
      <c r="B121" s="11">
        <f>D121/C121</f>
        <v>0</v>
      </c>
      <c r="C121" s="8">
        <v>12</v>
      </c>
      <c r="D121" s="25">
        <v>0</v>
      </c>
      <c r="E121" s="26" t="s">
        <v>23</v>
      </c>
    </row>
    <row r="122" spans="1:5" ht="23.25" customHeight="1" x14ac:dyDescent="0.25">
      <c r="A122" s="16" t="s">
        <v>24</v>
      </c>
      <c r="B122" s="9">
        <f>D122/C122</f>
        <v>0</v>
      </c>
      <c r="C122" s="8">
        <v>12</v>
      </c>
      <c r="D122" s="7">
        <v>0</v>
      </c>
      <c r="E122" s="26" t="s">
        <v>23</v>
      </c>
    </row>
    <row r="123" spans="1:5" ht="23.25" customHeight="1" x14ac:dyDescent="0.25">
      <c r="A123" s="15" t="s">
        <v>12</v>
      </c>
      <c r="B123" s="11">
        <f>D123/C123</f>
        <v>0</v>
      </c>
      <c r="C123" s="8">
        <v>12</v>
      </c>
      <c r="D123" s="25">
        <v>0</v>
      </c>
      <c r="E123" s="26" t="s">
        <v>23</v>
      </c>
    </row>
    <row r="124" spans="1:5" ht="23.25" customHeight="1" x14ac:dyDescent="0.25">
      <c r="A124" s="15" t="s">
        <v>11</v>
      </c>
      <c r="B124" s="9">
        <f>D124/C124</f>
        <v>0</v>
      </c>
      <c r="C124" s="8">
        <v>12</v>
      </c>
      <c r="D124" s="25">
        <v>0</v>
      </c>
      <c r="E124" s="26" t="s">
        <v>23</v>
      </c>
    </row>
    <row r="125" spans="1:5" ht="23.25" customHeight="1" x14ac:dyDescent="0.25">
      <c r="A125" s="12" t="s">
        <v>10</v>
      </c>
      <c r="B125" s="14">
        <f>D125/C125</f>
        <v>0</v>
      </c>
      <c r="C125" s="8">
        <v>12</v>
      </c>
      <c r="D125" s="25">
        <v>0</v>
      </c>
      <c r="E125" s="26" t="s">
        <v>23</v>
      </c>
    </row>
    <row r="126" spans="1:5" ht="23.25" customHeight="1" x14ac:dyDescent="0.25">
      <c r="A126" s="12" t="s">
        <v>9</v>
      </c>
      <c r="B126" s="9">
        <f>D126/C126</f>
        <v>0</v>
      </c>
      <c r="C126" s="8">
        <v>12</v>
      </c>
      <c r="D126" s="29">
        <v>0</v>
      </c>
      <c r="E126" s="26" t="s">
        <v>23</v>
      </c>
    </row>
    <row r="127" spans="1:5" ht="23.25" customHeight="1" x14ac:dyDescent="0.25">
      <c r="A127" s="12" t="s">
        <v>8</v>
      </c>
      <c r="B127" s="11">
        <f>D127/C127</f>
        <v>0</v>
      </c>
      <c r="C127" s="8">
        <v>12</v>
      </c>
      <c r="D127" s="28">
        <v>0</v>
      </c>
      <c r="E127" s="26" t="s">
        <v>23</v>
      </c>
    </row>
    <row r="128" spans="1:5" ht="23.25" customHeight="1" x14ac:dyDescent="0.25">
      <c r="A128" s="12" t="s">
        <v>7</v>
      </c>
      <c r="B128" s="9">
        <f>D128/C128</f>
        <v>0</v>
      </c>
      <c r="C128" s="8">
        <v>12</v>
      </c>
      <c r="D128" s="28">
        <v>0</v>
      </c>
      <c r="E128" s="26" t="s">
        <v>23</v>
      </c>
    </row>
    <row r="129" spans="1:5" ht="23.25" customHeight="1" x14ac:dyDescent="0.25">
      <c r="A129" s="12" t="s">
        <v>6</v>
      </c>
      <c r="B129" s="13">
        <f>D129/C129</f>
        <v>0</v>
      </c>
      <c r="C129" s="8">
        <v>12</v>
      </c>
      <c r="D129" s="25">
        <v>0</v>
      </c>
      <c r="E129" s="26" t="s">
        <v>23</v>
      </c>
    </row>
    <row r="130" spans="1:5" ht="23.25" customHeight="1" x14ac:dyDescent="0.25">
      <c r="A130" s="12" t="s">
        <v>5</v>
      </c>
      <c r="B130" s="13">
        <f>D130/C130</f>
        <v>0</v>
      </c>
      <c r="C130" s="8">
        <v>12</v>
      </c>
      <c r="D130" s="28">
        <v>0</v>
      </c>
      <c r="E130" s="26" t="s">
        <v>23</v>
      </c>
    </row>
    <row r="131" spans="1:5" ht="23.25" customHeight="1" x14ac:dyDescent="0.25">
      <c r="A131" s="12" t="s">
        <v>4</v>
      </c>
      <c r="B131" s="11">
        <f>D131/C131</f>
        <v>0</v>
      </c>
      <c r="C131" s="8">
        <v>12</v>
      </c>
      <c r="D131" s="27">
        <v>0</v>
      </c>
      <c r="E131" s="26" t="s">
        <v>23</v>
      </c>
    </row>
    <row r="132" spans="1:5" ht="23.25" customHeight="1" x14ac:dyDescent="0.25">
      <c r="A132" s="10" t="s">
        <v>3</v>
      </c>
      <c r="B132" s="9">
        <f>D132/C132</f>
        <v>0</v>
      </c>
      <c r="C132" s="8">
        <v>12</v>
      </c>
      <c r="D132" s="25">
        <v>0</v>
      </c>
      <c r="E132" s="6" t="s">
        <v>23</v>
      </c>
    </row>
    <row r="133" spans="1:5" ht="23.25" customHeight="1" x14ac:dyDescent="0.25">
      <c r="A133" s="10" t="s">
        <v>2</v>
      </c>
      <c r="B133" s="9">
        <f>D133/C133</f>
        <v>0</v>
      </c>
      <c r="C133" s="8">
        <v>12</v>
      </c>
      <c r="D133" s="25">
        <v>0</v>
      </c>
      <c r="E133" s="6" t="s">
        <v>23</v>
      </c>
    </row>
    <row r="134" spans="1:5" ht="30" customHeight="1" x14ac:dyDescent="0.2">
      <c r="A134" s="5" t="s">
        <v>22</v>
      </c>
      <c r="B134" s="5"/>
      <c r="C134" s="5"/>
      <c r="D134" s="4">
        <f>SUM(D119:D133)</f>
        <v>0</v>
      </c>
      <c r="E134" s="3"/>
    </row>
    <row r="136" spans="1:5" ht="30" customHeight="1" x14ac:dyDescent="0.2">
      <c r="A136" s="24" t="s">
        <v>21</v>
      </c>
      <c r="B136" s="23" t="s">
        <v>20</v>
      </c>
      <c r="C136" s="23" t="s">
        <v>19</v>
      </c>
      <c r="D136" s="23" t="s">
        <v>18</v>
      </c>
      <c r="E136" s="22" t="s">
        <v>17</v>
      </c>
    </row>
    <row r="137" spans="1:5" ht="22.5" customHeight="1" x14ac:dyDescent="0.25">
      <c r="A137" s="21" t="s">
        <v>16</v>
      </c>
      <c r="B137" s="20">
        <f>D137/C137</f>
        <v>27.5</v>
      </c>
      <c r="C137" s="19">
        <v>12</v>
      </c>
      <c r="D137" s="18">
        <v>330</v>
      </c>
      <c r="E137" s="17" t="s">
        <v>1</v>
      </c>
    </row>
    <row r="138" spans="1:5" ht="22.5" customHeight="1" x14ac:dyDescent="0.25">
      <c r="A138" s="10" t="s">
        <v>15</v>
      </c>
      <c r="B138" s="9">
        <f>D138/C138</f>
        <v>27.5</v>
      </c>
      <c r="C138" s="8">
        <v>12</v>
      </c>
      <c r="D138" s="7">
        <v>330</v>
      </c>
      <c r="E138" s="6" t="s">
        <v>1</v>
      </c>
    </row>
    <row r="139" spans="1:5" ht="22.5" customHeight="1" x14ac:dyDescent="0.25">
      <c r="A139" s="12" t="s">
        <v>14</v>
      </c>
      <c r="B139" s="11">
        <f>D139/C139</f>
        <v>27.5</v>
      </c>
      <c r="C139" s="8">
        <v>12</v>
      </c>
      <c r="D139" s="7">
        <v>330</v>
      </c>
      <c r="E139" s="6" t="s">
        <v>1</v>
      </c>
    </row>
    <row r="140" spans="1:5" ht="22.5" customHeight="1" x14ac:dyDescent="0.25">
      <c r="A140" s="16" t="s">
        <v>13</v>
      </c>
      <c r="B140" s="9">
        <f>D140/C140</f>
        <v>27.5</v>
      </c>
      <c r="C140" s="8">
        <v>12</v>
      </c>
      <c r="D140" s="7">
        <v>330</v>
      </c>
      <c r="E140" s="6" t="s">
        <v>1</v>
      </c>
    </row>
    <row r="141" spans="1:5" ht="22.5" customHeight="1" x14ac:dyDescent="0.25">
      <c r="A141" s="15" t="s">
        <v>12</v>
      </c>
      <c r="B141" s="11">
        <f>D141/C141</f>
        <v>27.5</v>
      </c>
      <c r="C141" s="8">
        <v>12</v>
      </c>
      <c r="D141" s="7">
        <v>330</v>
      </c>
      <c r="E141" s="6" t="s">
        <v>1</v>
      </c>
    </row>
    <row r="142" spans="1:5" ht="22.5" customHeight="1" x14ac:dyDescent="0.25">
      <c r="A142" s="15" t="s">
        <v>11</v>
      </c>
      <c r="B142" s="9">
        <f>D142/C142</f>
        <v>27.5</v>
      </c>
      <c r="C142" s="8">
        <v>12</v>
      </c>
      <c r="D142" s="7">
        <v>330</v>
      </c>
      <c r="E142" s="6" t="s">
        <v>1</v>
      </c>
    </row>
    <row r="143" spans="1:5" ht="22.5" customHeight="1" x14ac:dyDescent="0.25">
      <c r="A143" s="12" t="s">
        <v>10</v>
      </c>
      <c r="B143" s="14">
        <f>D143/C143</f>
        <v>27.5</v>
      </c>
      <c r="C143" s="8">
        <v>12</v>
      </c>
      <c r="D143" s="7">
        <v>330</v>
      </c>
      <c r="E143" s="6" t="s">
        <v>1</v>
      </c>
    </row>
    <row r="144" spans="1:5" ht="22.5" customHeight="1" x14ac:dyDescent="0.25">
      <c r="A144" s="12" t="s">
        <v>9</v>
      </c>
      <c r="B144" s="9">
        <f>D144/C144</f>
        <v>27.5</v>
      </c>
      <c r="C144" s="8">
        <v>12</v>
      </c>
      <c r="D144" s="7">
        <v>330</v>
      </c>
      <c r="E144" s="6" t="s">
        <v>1</v>
      </c>
    </row>
    <row r="145" spans="1:5" ht="22.5" customHeight="1" x14ac:dyDescent="0.25">
      <c r="A145" s="12" t="s">
        <v>8</v>
      </c>
      <c r="B145" s="11">
        <f>D145/C145</f>
        <v>27.5</v>
      </c>
      <c r="C145" s="8">
        <v>12</v>
      </c>
      <c r="D145" s="7">
        <v>330</v>
      </c>
      <c r="E145" s="6" t="s">
        <v>1</v>
      </c>
    </row>
    <row r="146" spans="1:5" ht="22.5" customHeight="1" x14ac:dyDescent="0.25">
      <c r="A146" s="12" t="s">
        <v>7</v>
      </c>
      <c r="B146" s="9">
        <f>D146/C146</f>
        <v>27.5</v>
      </c>
      <c r="C146" s="8">
        <v>12</v>
      </c>
      <c r="D146" s="7">
        <v>330</v>
      </c>
      <c r="E146" s="6" t="s">
        <v>1</v>
      </c>
    </row>
    <row r="147" spans="1:5" ht="22.5" customHeight="1" x14ac:dyDescent="0.25">
      <c r="A147" s="12" t="s">
        <v>6</v>
      </c>
      <c r="B147" s="13">
        <f>D147/C147</f>
        <v>27.5</v>
      </c>
      <c r="C147" s="8">
        <v>12</v>
      </c>
      <c r="D147" s="7">
        <v>330</v>
      </c>
      <c r="E147" s="6" t="s">
        <v>1</v>
      </c>
    </row>
    <row r="148" spans="1:5" ht="22.5" customHeight="1" x14ac:dyDescent="0.25">
      <c r="A148" s="12" t="s">
        <v>5</v>
      </c>
      <c r="B148" s="13">
        <f>D148/C148</f>
        <v>27.5</v>
      </c>
      <c r="C148" s="8">
        <v>12</v>
      </c>
      <c r="D148" s="7">
        <v>330</v>
      </c>
      <c r="E148" s="6" t="s">
        <v>1</v>
      </c>
    </row>
    <row r="149" spans="1:5" ht="22.5" customHeight="1" x14ac:dyDescent="0.25">
      <c r="A149" s="12" t="s">
        <v>4</v>
      </c>
      <c r="B149" s="11">
        <f>D149/C149</f>
        <v>27.5</v>
      </c>
      <c r="C149" s="8">
        <v>12</v>
      </c>
      <c r="D149" s="7">
        <v>330</v>
      </c>
      <c r="E149" s="6" t="s">
        <v>1</v>
      </c>
    </row>
    <row r="150" spans="1:5" ht="22.5" customHeight="1" x14ac:dyDescent="0.25">
      <c r="A150" s="10" t="s">
        <v>3</v>
      </c>
      <c r="B150" s="9">
        <f>D150/C150</f>
        <v>27.5</v>
      </c>
      <c r="C150" s="8">
        <v>12</v>
      </c>
      <c r="D150" s="7">
        <v>330</v>
      </c>
      <c r="E150" s="6" t="s">
        <v>1</v>
      </c>
    </row>
    <row r="151" spans="1:5" ht="22.5" customHeight="1" x14ac:dyDescent="0.25">
      <c r="A151" s="10" t="s">
        <v>2</v>
      </c>
      <c r="B151" s="9">
        <f>D151/C151</f>
        <v>27.5</v>
      </c>
      <c r="C151" s="8">
        <v>12</v>
      </c>
      <c r="D151" s="7">
        <v>330</v>
      </c>
      <c r="E151" s="6" t="s">
        <v>1</v>
      </c>
    </row>
    <row r="152" spans="1:5" ht="30" customHeight="1" x14ac:dyDescent="0.2">
      <c r="A152" s="5" t="s">
        <v>0</v>
      </c>
      <c r="B152" s="5"/>
      <c r="C152" s="5"/>
      <c r="D152" s="4">
        <f>SUM(D137:D151)</f>
        <v>4950</v>
      </c>
      <c r="E152" s="3"/>
    </row>
    <row r="153" spans="1:5" ht="15" customHeight="1" x14ac:dyDescent="0.2"/>
  </sheetData>
  <mergeCells count="2">
    <mergeCell ref="A2:E2"/>
    <mergeCell ref="A11:E11"/>
  </mergeCells>
  <pageMargins left="0.7" right="0.7" top="0.78740157499999996" bottom="0.78740157499999996" header="0.3" footer="0.3"/>
  <pageSetup paperSize="9" scale="1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Grundlagen_Betriebskosten_26_Ge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Dächert, Michael</dc:creator>
  <cp:lastModifiedBy>Dächert, Michael</cp:lastModifiedBy>
  <dcterms:created xsi:type="dcterms:W3CDTF">2026-04-02T13:08:34Z</dcterms:created>
  <dcterms:modified xsi:type="dcterms:W3CDTF">2026-04-02T13:09:02Z</dcterms:modified>
</cp:coreProperties>
</file>